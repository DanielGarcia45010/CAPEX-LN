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1872643\Downloads\"/>
    </mc:Choice>
  </mc:AlternateContent>
  <xr:revisionPtr revIDLastSave="0" documentId="13_ncr:1_{1B21190C-EC08-49C2-8126-3B64B7BCCB7C}" xr6:coauthVersionLast="47" xr6:coauthVersionMax="47" xr10:uidLastSave="{00000000-0000-0000-0000-000000000000}"/>
  <bookViews>
    <workbookView xWindow="-110" yWindow="-110" windowWidth="19420" windowHeight="11500" xr2:uid="{A7F52615-56A7-4601-B634-A9BD47903C7D}"/>
  </bookViews>
  <sheets>
    <sheet name="PROMEDIOS EXTERNOS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Order2" hidden="1">255</definedName>
    <definedName name="A1AAAAA">[1]Parametro_Tecnico!#REF!</definedName>
    <definedName name="Accesos_Uf">[1]Parametro_Tecnico!#REF!</definedName>
    <definedName name="AccessDatabase" hidden="1">"C:\Mis documentos\ACTIVOS.MDB"</definedName>
    <definedName name="AEREO">#REF!</definedName>
    <definedName name="ap">[1]Parametro_Tecnico!#REF!</definedName>
    <definedName name="base">'[2]Base de Datos'!$A$1:$C$36370</definedName>
    <definedName name="BBBBBBBB">[1]Parametro_Tecnico!#REF!</definedName>
    <definedName name="BD_Cuentas_y_Fecha">#REF!</definedName>
    <definedName name="BD_ValorAcum_">#REF!</definedName>
    <definedName name="BD_ValorMes_">#REF!</definedName>
    <definedName name="CANALIZADO">#REF!</definedName>
    <definedName name="CBWorkbookPriority" hidden="1">-1573893677</definedName>
    <definedName name="CCCCCCCC">#REF!</definedName>
    <definedName name="Centro_Estratégico">#REF!</definedName>
    <definedName name="CENTRO2">#REF!</definedName>
    <definedName name="CENTROS_PT">#REF!</definedName>
    <definedName name="Change" hidden="1">#N/A</definedName>
    <definedName name="Change2" hidden="1">#N/A</definedName>
    <definedName name="Change3" hidden="1">#N/A</definedName>
    <definedName name="Change4" hidden="1">#N/A</definedName>
    <definedName name="ChangeRange" hidden="1">#N/A</definedName>
    <definedName name="ChangeRange2" hidden="1">#N/A</definedName>
    <definedName name="Chnge" hidden="1">#N/A</definedName>
    <definedName name="ChngeRange" hidden="1">#N/A</definedName>
    <definedName name="CONSULTAS">[3]APU!$A$1:$A$65536</definedName>
    <definedName name="CuentaPUC">[4]Biblioteca!$D$2:$D$73</definedName>
    <definedName name="DDDDDDDD">#REF!</definedName>
    <definedName name="deflactor_iva">[5]Parametro_Tecnico!$AC$26</definedName>
    <definedName name="DF">#REF!</definedName>
    <definedName name="EEEEEEEE">#REF!</definedName>
    <definedName name="ELEMEN_CAPEX">[4]Capex!$CR$15:$CR$26</definedName>
    <definedName name="ELEMEN_COSTO">[4]Costos!$H$15:$H$26</definedName>
    <definedName name="ELEMEN_MULT_CAPEX">[4]Capex!$CS$15:$CS$26</definedName>
    <definedName name="ELEMEN_MULT_COSTO">[4]Costos!$R$15:$R$26</definedName>
    <definedName name="existente">#REF!</definedName>
    <definedName name="factor">#REF!</definedName>
    <definedName name="FACTOR2">#REF!</definedName>
    <definedName name="FDSSDF">[6]Parametro_Tecnico!#REF!</definedName>
    <definedName name="FFFFFFFFF">#REF!</definedName>
    <definedName name="fhgfgh">#REF!</definedName>
    <definedName name="FUSIÓN">[7]Parametro_Tecnico!$T$4</definedName>
    <definedName name="GGGGGGGG">#REF!</definedName>
    <definedName name="HABHILOS">#REF!</definedName>
    <definedName name="HGFGHFGH">#REF!</definedName>
    <definedName name="HHHHHHHH">#REF!</definedName>
    <definedName name="HTML_CodePage" hidden="1">1252</definedName>
    <definedName name="HTML_Control" hidden="1">{"'AVAL. GASOD.'!$A$1998:$G$2028"}</definedName>
    <definedName name="HTML_Description" hidden="1">""</definedName>
    <definedName name="HTML_Email" hidden="1">"lalvarez@surtigas.com.co"</definedName>
    <definedName name="HTML_Header" hidden="1">""</definedName>
    <definedName name="HTML_LastUpdate" hidden="1">"16/02/00"</definedName>
    <definedName name="HTML_LineAfter" hidden="1">TRUE</definedName>
    <definedName name="HTML_LineBefore" hidden="1">TRUE</definedName>
    <definedName name="HTML_Name" hidden="1">"Libardo Rafael Alvarez Ferrer"</definedName>
    <definedName name="HTML_OBDlg2" hidden="1">TRUE</definedName>
    <definedName name="HTML_OBDlg4" hidden="1">TRUE</definedName>
    <definedName name="HTML_OS" hidden="1">0</definedName>
    <definedName name="HTML_PathFile" hidden="1">"D:\Avaluo 47.htm"</definedName>
    <definedName name="HTML_Title" hidden="1">"Aval 1.999"</definedName>
    <definedName name="HTML2" hidden="1">{"'AVAL. GASOD.'!$A$1998:$G$2028"}</definedName>
    <definedName name="IIIIIIIIII">#REF!</definedName>
    <definedName name="JJJJJJJJJJ">#REF!</definedName>
    <definedName name="KKKKKKKKK">#REF!</definedName>
    <definedName name="limcount" hidden="1">1</definedName>
    <definedName name="LLLLLLLLL">[6]Parametro_Tecnico!#REF!</definedName>
    <definedName name="MIXTO">#REF!</definedName>
    <definedName name="MMMMMMMM">#REF!</definedName>
    <definedName name="NNNNNNNNN">#REF!</definedName>
    <definedName name="NombreCosto">[4]Biblioteca!$E$2:$E$73</definedName>
    <definedName name="OFICINA">#REF!</definedName>
    <definedName name="OFICINA2">#REF!</definedName>
    <definedName name="OOOOOOOOO">'[8]Borrar Parametro_Tecnico'!#REF!</definedName>
    <definedName name="opain">#REF!</definedName>
    <definedName name="OPEX">[6]Parametro_Tecnico!#REF!</definedName>
    <definedName name="PAIS_CORTO">#REF!</definedName>
    <definedName name="PAIS2">#REF!</definedName>
    <definedName name="PPPPPPPPP">#REF!</definedName>
    <definedName name="Preoperativos">#REF!</definedName>
    <definedName name="QQQQQQQQ">#REF!</definedName>
    <definedName name="RangeChange" hidden="1">#N/A</definedName>
    <definedName name="RANGO1">#REF!</definedName>
    <definedName name="RANGO2">#REF!</definedName>
    <definedName name="RANGO3">#REF!</definedName>
    <definedName name="RANGO4">#REF!</definedName>
    <definedName name="RANGO5">#REF!</definedName>
    <definedName name="Regiones_ciudad">[9]Conectividad!$BO$4:$BP$7</definedName>
    <definedName name="RRRRRRRRR">#REF!</definedName>
    <definedName name="Rva_FO">'[8]Borrar Parametro_Tecnico'!#REF!</definedName>
    <definedName name="RVAFO2">'[10]Borrar Parametro_Tecnico'!#REF!</definedName>
    <definedName name="SDFSDF">#REF!</definedName>
    <definedName name="Simbolo_Moneda">#REF!</definedName>
    <definedName name="SINOBRAS">#REF!</definedName>
    <definedName name="soloint">#REF!</definedName>
    <definedName name="SSSSSSSS">[1]Parametro_Tecnico!#REF!</definedName>
    <definedName name="SUBTOTALES">[3]APU!$M$1:$M$65536</definedName>
    <definedName name="tecni2">[11]Dotación!$E$27</definedName>
    <definedName name="TRM">#REF!</definedName>
    <definedName name="TRMCOL2">#REF!</definedName>
    <definedName name="TTTTTTTTT">[1]Parametro_Tecnico!#REF!</definedName>
    <definedName name="ufinet">[1]Parametro_Tecnico!#REF!</definedName>
    <definedName name="UFINET2">[6]Parametro_Tecnico!#REF!</definedName>
    <definedName name="Vida_Util">[4]Input!$E$36:$E$51</definedName>
    <definedName name="VOAZ2222">[6]Parametro_Tecnico!#REF!</definedName>
    <definedName name="voz">[1]Parametro_Tecnico!#REF!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8" i="1" l="1"/>
  <c r="G18" i="1"/>
  <c r="J17" i="1"/>
  <c r="G17" i="1"/>
  <c r="J15" i="1"/>
  <c r="G15" i="1"/>
  <c r="J14" i="1"/>
  <c r="G14" i="1"/>
  <c r="J11" i="1"/>
  <c r="G11" i="1"/>
  <c r="J10" i="1"/>
  <c r="G10" i="1"/>
  <c r="J9" i="1"/>
  <c r="G9" i="1"/>
  <c r="J8" i="1"/>
  <c r="G8" i="1"/>
  <c r="J6" i="1"/>
  <c r="G6" i="1"/>
  <c r="J4" i="1"/>
  <c r="G4" i="1"/>
  <c r="J19" i="1" l="1"/>
  <c r="J16" i="1"/>
  <c r="J13" i="1"/>
  <c r="J12" i="1"/>
  <c r="J7" i="1"/>
  <c r="J5" i="1"/>
  <c r="J3" i="1"/>
  <c r="G19" i="1"/>
  <c r="G16" i="1"/>
  <c r="G13" i="1"/>
  <c r="G12" i="1"/>
  <c r="G7" i="1"/>
  <c r="G5" i="1"/>
  <c r="G3" i="1"/>
</calcChain>
</file>

<file path=xl/sharedStrings.xml><?xml version="1.0" encoding="utf-8"?>
<sst xmlns="http://schemas.openxmlformats.org/spreadsheetml/2006/main" count="58" uniqueCount="42">
  <si>
    <t>CIUDAD</t>
  </si>
  <si>
    <t>Habilitación de Hilos (COP)</t>
  </si>
  <si>
    <t>Derivación red - cliente en frente a la red (0 mts)</t>
  </si>
  <si>
    <t>Red por metro lineal (COP/m)</t>
  </si>
  <si>
    <t>Cant metros de red</t>
  </si>
  <si>
    <t>Valor Total (COP)</t>
  </si>
  <si>
    <t>Valor Unitario arriendo postes y ductos (COP/mes)</t>
  </si>
  <si>
    <t>Valor Total Arriendo postes y ductos (COP/mes)</t>
  </si>
  <si>
    <t>* Aplica solo para soluciones con disponibilidad de infraestructura para tendido aereos o por ductos existente propios o de terceros.</t>
  </si>
  <si>
    <t>BQA</t>
  </si>
  <si>
    <t>Barranquilla</t>
  </si>
  <si>
    <t>CTG</t>
  </si>
  <si>
    <t>Cartagena</t>
  </si>
  <si>
    <t xml:space="preserve">BUC </t>
  </si>
  <si>
    <t>Bucaramanga</t>
  </si>
  <si>
    <t>CUC</t>
  </si>
  <si>
    <t>Cucuta</t>
  </si>
  <si>
    <t>BOG</t>
  </si>
  <si>
    <t>Bogota</t>
  </si>
  <si>
    <t>VVC</t>
  </si>
  <si>
    <t>Villavicencio</t>
  </si>
  <si>
    <t>IBE</t>
  </si>
  <si>
    <t>Ibague</t>
  </si>
  <si>
    <t>SIN</t>
  </si>
  <si>
    <t>Sincelejo</t>
  </si>
  <si>
    <t>MON</t>
  </si>
  <si>
    <t>Monteria</t>
  </si>
  <si>
    <t>PPN</t>
  </si>
  <si>
    <t>Popayan</t>
  </si>
  <si>
    <t>PSO</t>
  </si>
  <si>
    <t>Pasto</t>
  </si>
  <si>
    <t>Ipiales</t>
  </si>
  <si>
    <t>CAL</t>
  </si>
  <si>
    <t>Cali</t>
  </si>
  <si>
    <t>IPI</t>
  </si>
  <si>
    <t>PAL</t>
  </si>
  <si>
    <t>SMA</t>
  </si>
  <si>
    <t>Santa Marta</t>
  </si>
  <si>
    <t>VUP</t>
  </si>
  <si>
    <t>Valledupar</t>
  </si>
  <si>
    <t>Palmira</t>
  </si>
  <si>
    <t>Medellin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</si>
</sst>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4" fillId="3" borderId="1" xfId="0" applyFont="1" applyFill="1" applyBorder="1"/>
    <xf numFmtId="164" fontId="4" fillId="5" borderId="1" xfId="1" applyNumberFormat="1" applyFont="1" applyFill="1" applyBorder="1"/>
    <xf numFmtId="164" fontId="4" fillId="4" borderId="1" xfId="1" applyNumberFormat="1" applyFont="1" applyFill="1" applyBorder="1"/>
    <xf numFmtId="164" fontId="4" fillId="0" borderId="1" xfId="1" applyNumberFormat="1" applyFont="1" applyFill="1" applyBorder="1"/>
    <xf numFmtId="164" fontId="4" fillId="5" borderId="0" xfId="1" applyNumberFormat="1" applyFont="1" applyFill="1" applyBorder="1"/>
    <xf numFmtId="164" fontId="0" fillId="4" borderId="1" xfId="1" applyNumberFormat="1" applyFont="1" applyFill="1" applyBorder="1"/>
    <xf numFmtId="0" fontId="5" fillId="2" borderId="0" xfId="0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2" Type="http://schemas.openxmlformats.org/officeDocument/2006/relationships/externalLink" Target="externalLinks/externalLink1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gcobaqbw02\PT_P&amp;P\_Permanente\_Proyectos\_Current\ProyectoBogota\Base%20T&#233;cnica%20Bogot&#22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gcobaqbw02\Resultados%20Financieros\2008%2003%20Mar%202008\Mar%200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nidatos\Ingenieria\ARCHIVOS%202009\LICITACIONES%202009\66BA%20-%20LIC.%20INGENIERIA\66BA%20001%20-%20099\66BA-09-040%20EPSA%20F.O%20YUMBO-BUGA\APU%20UFINET%20FO%20JAMUNDI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gcobaqbw02\PT_PLAN%20DIS%20RED\02%20100%20V%20UNIT%20POR%20CIUDAD%20Y%20CASO\Mguzman\Magu389\Documentos\PROYECTOS\wPLANTILLAS\Tecnico%20Peru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gcobaqbw02\PT_P&amp;P\_Permanente\_Proyectos\_Current\CostaRica_ParaConsulta\T&#233;cnico%20Costa%20Ric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PROMITEL\PT_P&amp;P\_Permanente\_Proyectos\_Current\ProyectoBogota\Base%20T&#233;cnica%20Bogot&#225;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gcobaqbw02\PT_P&amp;P\_Permanente\_Proyectos\_Current\Proyecto_Medellin\Base%20T&#233;cnica%20Medell&#237;n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gcobaqbw02\PT_PLAN%20DIS%20RED\02%20100%20V%20UNIT%20POR%20CIUDAD%20Y%20CASO\Magu389\Documentos\Proyectos\Varios\Panam&#225;%20Tecnico%20New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microsoft.com/office/2019/04/relationships/externalLinkLongPath" Target="https://cwc-my.sharepoint.com/Users/USUARIO/Desktop/VIABILIDADES%20N2%202018/CCE/EVENTOS/SUPERINTENDENCIA%20DE%20SERVICIOS%20PUBLICOS%20DOMICILIARIOS/Plantilla%20segundo%20AMP%20CCE_v13.5%20CCE-Super%20Intendencia%20de%20Servicios%20Publicos%20Domiciliarios%20V1.xlsm?A76A7AFF" TargetMode="External"/><Relationship Id="rId1" Type="http://schemas.openxmlformats.org/officeDocument/2006/relationships/externalLinkPath" Target="file:///\\A76A7AFF\Plantilla%20segundo%20AMP%20CCE_v13.5%20CCE-Super%20Intendencia%20de%20Servicios%20Publicos%20Domiciliarios%20V1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HOUSE\Magu389\Documentos\Proyectos\Varios\Panam&#225;%20Tecnico%20New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gcobaqbw02\PT_PLAN%20DIS%20RED\02%20100%20V%20UNIT%20POR%20CIUDAD%20Y%20CASO\A%20TIGO%20REGIONALES\Presupuesto%20RED%20y%20OM%20IRU%20REGIONALES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ro_Tecnico"/>
      <sheetName val="Mercado Técnico"/>
      <sheetName val="Equipos"/>
      <sheetName val="Pta Externa"/>
      <sheetName val="Nodos"/>
      <sheetName val="OC Backbone"/>
      <sheetName val="OC Red Principal"/>
      <sheetName val="PRESUPUESTO RED SECUND"/>
      <sheetName val="O&amp;M"/>
      <sheetName val="V UNIT"/>
      <sheetName val="COBERTURA"/>
      <sheetName val="LONGITUD"/>
      <sheetName val="PRESUPUESTO BB"/>
      <sheetName val="PRESUPUESTO RED PRINC"/>
      <sheetName val="PRESUPUESTO AMPLIACION RED"/>
      <sheetName val="PRESUPUESTO REDES SEC"/>
      <sheetName val="Ppto Bogota--&gt;"/>
      <sheetName val="Valores Unitarios"/>
      <sheetName val="RESUMEN"/>
      <sheetName val="DUCTOS"/>
      <sheetName val="LONG REDES SEC"/>
      <sheetName val="CLIENTES"/>
      <sheetName val="A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plicaciones Mayores"/>
      <sheetName val="Base Ppto CyG"/>
      <sheetName val="Base de Datos"/>
      <sheetName val="Inventarios"/>
      <sheetName val="Controles Inf Relevante"/>
      <sheetName val="Balance"/>
      <sheetName val="Informes Balance"/>
      <sheetName val="Flujo de Caja"/>
      <sheetName val="Informes PyG"/>
      <sheetName val="Costos"/>
      <sheetName val="Gastos Admón"/>
      <sheetName val="Gastos de Ventas"/>
      <sheetName val="Otros IE"/>
      <sheetName val="CyG para Junta"/>
      <sheetName val="Anexos 11 y 12"/>
      <sheetName val="Resum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AIUS"/>
      <sheetName val="HERRAMIENTA"/>
      <sheetName val="TRANSPORTE"/>
      <sheetName val="MANO DE OBRA"/>
      <sheetName val="IMP APU"/>
      <sheetName val="PRECIOS BASE"/>
      <sheetName val="APU"/>
      <sheetName val="FORMULARIO APU"/>
      <sheetName val="H.P."/>
      <sheetName val="RESUMEN"/>
      <sheetName val="FORMULARIO CLIENTE"/>
      <sheetName val="AIU"/>
      <sheetName val="PRESUPUESTO"/>
      <sheetName val="CERTIFICAD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Costos"/>
      <sheetName val="Capex"/>
      <sheetName val="Output Costos"/>
      <sheetName val="Output Capex"/>
      <sheetName val="Bibliotec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Parametro_Tecnico"/>
      <sheetName val="Pta Externa"/>
      <sheetName val="Nodos"/>
      <sheetName val="Mercado Técnico"/>
      <sheetName val="Equipos"/>
      <sheetName val="Drivers Nodos"/>
      <sheetName val="Drivers Mtto"/>
      <sheetName val="Costos"/>
      <sheetName val="Gastos de Viaje"/>
      <sheetName val="Costos-Output "/>
      <sheetName val="Capex"/>
      <sheetName val="Capex-Financiero"/>
      <sheetName val="Capex-Output"/>
      <sheetName val="AjustePerpetuidad"/>
      <sheetName val="Ind. Personal y Capex"/>
      <sheetName val="Hoj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ro_Tecnico"/>
      <sheetName val="Mercado Técnico"/>
      <sheetName val="Equipos"/>
      <sheetName val="Pta Externa"/>
      <sheetName val="Nodos"/>
      <sheetName val="OC Backbone"/>
      <sheetName val="OC Red Principal"/>
      <sheetName val="PRESUPUESTO RED SECUND"/>
      <sheetName val="O&amp;M"/>
      <sheetName val="V UNIT"/>
      <sheetName val="COBERTURA"/>
      <sheetName val="LONGITUD"/>
      <sheetName val="PRESUPUESTO BB"/>
      <sheetName val="PRESUPUESTO RED PRINC"/>
      <sheetName val="PRESUPUESTO AMPLIACION RED"/>
      <sheetName val="PRESUPUESTO REDES SEC"/>
      <sheetName val="Ppto Bogota--&gt;"/>
      <sheetName val="Valores Unitarios"/>
      <sheetName val="RESUMEN"/>
      <sheetName val="DUCTOS"/>
      <sheetName val="LONG REDES SEC"/>
      <sheetName val="CLIENTES"/>
      <sheetName val="AM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ro_Tecnico"/>
      <sheetName val="Mercado Técnico"/>
      <sheetName val="Equipos"/>
      <sheetName val="Pta Externa"/>
      <sheetName val="Nodos"/>
      <sheetName val="OC Backbone"/>
      <sheetName val="OC Red Principal"/>
      <sheetName val="PRESUPUESTO RED SECUND"/>
      <sheetName val="O&amp;M"/>
      <sheetName val="V UNIT"/>
      <sheetName val="COBERTURA"/>
      <sheetName val="LONGITUD"/>
      <sheetName val="PRESUPUESTO BB"/>
      <sheetName val="PRESUPUESTO RED PRINC"/>
      <sheetName val="PRESUPUESTO AMPLIACION 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adores"/>
      <sheetName val="Personal"/>
      <sheetName val="Mercado Técnico"/>
      <sheetName val="Costos"/>
      <sheetName val="Capex"/>
      <sheetName val="Borrar Nodos"/>
      <sheetName val="Input Mer y Fin"/>
      <sheetName val="Input Técnico"/>
      <sheetName val="Nodos"/>
      <sheetName val="Costos Equipos"/>
      <sheetName val="Parametros"/>
      <sheetName val="Borrar Parametro_Tecnico"/>
      <sheetName val="Pta Externa borrar"/>
      <sheetName val="Pend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VO"/>
      <sheetName val="RESUMEN"/>
      <sheetName val="Conectividad"/>
      <sheetName val="Servicios conect terres"/>
      <sheetName val="Sede Educativa"/>
      <sheetName val="Servicios satelitales"/>
      <sheetName val="Conectividad móvil"/>
      <sheetName val="Habilit voz"/>
      <sheetName val="Complementarios"/>
      <sheetName val="Gestión trafico"/>
      <sheetName val="Gestión seguridad"/>
      <sheetName val="INFO ENLACES DE VOZ"/>
      <sheetName val="UM TERCEROS"/>
      <sheetName val="NEG ESP UM TERCEROS"/>
      <sheetName val="PRECIOS"/>
      <sheetName val="RESUMEN PREC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cadores"/>
      <sheetName val="Personal"/>
      <sheetName val="Mercado Técnico"/>
      <sheetName val="Costos"/>
      <sheetName val="Capex"/>
      <sheetName val="Borrar Nodos"/>
      <sheetName val="Input Mer y Fin"/>
      <sheetName val="Input Técnico"/>
      <sheetName val="Nodos"/>
      <sheetName val="Costos Equipos"/>
      <sheetName val="Parametros"/>
      <sheetName val="Borrar Parametro_Tecnico"/>
      <sheetName val="Pta Externa borrar"/>
      <sheetName val="Pend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&amp;M"/>
      <sheetName val="Dotación"/>
      <sheetName val="%-AIU"/>
      <sheetName val="Unitarios Rurales"/>
      <sheetName val="Valores Unitarios Bogota"/>
      <sheetName val="Unitarios Urbanos"/>
      <sheetName val="CALI-SANTANDER"/>
      <sheetName val="POPAYAN-IPIALES"/>
      <sheetName val="CASTELLANA-SIBERIA"/>
      <sheetName val="BUCARAMANGA-BARRANCA"/>
      <sheetName val="CASTELLANA-FACA"/>
      <sheetName val="BUCARAMANGA-SANGIL"/>
      <sheetName val="Long y Cant BTS"/>
      <sheetName val="PRESUPUESTOS BT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D2E33-EAE1-4D0B-8DA8-E604FD80A069}">
  <dimension ref="A1:K40"/>
  <sheetViews>
    <sheetView tabSelected="1" workbookViewId="0">
      <selection activeCell="F6" sqref="F6"/>
    </sheetView>
  </sheetViews>
  <sheetFormatPr baseColWidth="10" defaultColWidth="11.453125" defaultRowHeight="14.5" x14ac:dyDescent="0.35"/>
  <cols>
    <col min="1" max="1" width="2" customWidth="1"/>
    <col min="2" max="2" width="27.54296875" customWidth="1"/>
    <col min="3" max="3" width="11.54296875" customWidth="1"/>
    <col min="4" max="4" width="16" customWidth="1"/>
    <col min="5" max="5" width="13.453125" customWidth="1"/>
    <col min="6" max="6" width="11.453125" customWidth="1"/>
    <col min="7" max="7" width="13.81640625" customWidth="1"/>
    <col min="8" max="8" width="1.90625" customWidth="1"/>
    <col min="9" max="9" width="15.453125" customWidth="1"/>
    <col min="10" max="10" width="17.453125" customWidth="1"/>
    <col min="11" max="11" width="2.26953125" customWidth="1"/>
    <col min="20" max="20" width="10" bestFit="1" customWidth="1"/>
  </cols>
  <sheetData>
    <row r="1" spans="1:1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41.15" customHeight="1" x14ac:dyDescent="0.35">
      <c r="A2" s="1"/>
      <c r="B2" s="2" t="s">
        <v>0</v>
      </c>
      <c r="C2" s="3" t="s">
        <v>1</v>
      </c>
      <c r="D2" s="3" t="s">
        <v>2</v>
      </c>
      <c r="E2" s="4" t="s">
        <v>3</v>
      </c>
      <c r="F2" s="4" t="s">
        <v>4</v>
      </c>
      <c r="G2" s="4" t="s">
        <v>5</v>
      </c>
      <c r="H2" s="5"/>
      <c r="I2" s="4" t="s">
        <v>6</v>
      </c>
      <c r="J2" s="6" t="s">
        <v>7</v>
      </c>
      <c r="K2" s="1"/>
    </row>
    <row r="3" spans="1:11" x14ac:dyDescent="0.35">
      <c r="A3" s="1"/>
      <c r="B3" s="7" t="s">
        <v>10</v>
      </c>
      <c r="C3" s="8">
        <v>1106100</v>
      </c>
      <c r="D3" s="8">
        <v>1692005.175</v>
      </c>
      <c r="E3" s="9">
        <v>8608.2324774999997</v>
      </c>
      <c r="F3" s="10"/>
      <c r="G3" s="9">
        <f>D3+F3*E3</f>
        <v>1692005.175</v>
      </c>
      <c r="H3" s="11"/>
      <c r="I3" s="9">
        <v>75</v>
      </c>
      <c r="J3" s="12">
        <f>I3*F3</f>
        <v>0</v>
      </c>
      <c r="K3" s="1"/>
    </row>
    <row r="4" spans="1:11" x14ac:dyDescent="0.35">
      <c r="A4" s="1"/>
      <c r="B4" s="7" t="s">
        <v>12</v>
      </c>
      <c r="C4" s="8">
        <v>1106100</v>
      </c>
      <c r="D4" s="8">
        <v>1692005.175</v>
      </c>
      <c r="E4" s="9">
        <v>8608.2324774999997</v>
      </c>
      <c r="F4" s="10"/>
      <c r="G4" s="9">
        <f>D4+F4*E4</f>
        <v>1692005.175</v>
      </c>
      <c r="H4" s="11"/>
      <c r="I4" s="9">
        <v>75</v>
      </c>
      <c r="J4" s="12">
        <f>I4*F4</f>
        <v>0</v>
      </c>
      <c r="K4" s="1"/>
    </row>
    <row r="5" spans="1:11" x14ac:dyDescent="0.35">
      <c r="A5" s="1"/>
      <c r="B5" s="7" t="s">
        <v>14</v>
      </c>
      <c r="C5" s="8">
        <v>1276913.76</v>
      </c>
      <c r="D5" s="8">
        <v>2364171.0612499998</v>
      </c>
      <c r="E5" s="9">
        <v>9513.8783274999987</v>
      </c>
      <c r="F5" s="10"/>
      <c r="G5" s="9">
        <f t="shared" ref="G5:G19" si="0">D5+F5*E5</f>
        <v>2364171.0612499998</v>
      </c>
      <c r="H5" s="11"/>
      <c r="I5" s="9">
        <v>82</v>
      </c>
      <c r="J5" s="12">
        <f t="shared" ref="J5:J19" si="1">I5*F5</f>
        <v>0</v>
      </c>
      <c r="K5" s="1"/>
    </row>
    <row r="6" spans="1:11" x14ac:dyDescent="0.35">
      <c r="A6" s="1"/>
      <c r="B6" s="7" t="s">
        <v>16</v>
      </c>
      <c r="C6" s="8">
        <v>1276913.76</v>
      </c>
      <c r="D6" s="8">
        <v>2364171.0612499998</v>
      </c>
      <c r="E6" s="9">
        <v>9513.8783274999987</v>
      </c>
      <c r="F6" s="10"/>
      <c r="G6" s="9">
        <f t="shared" ref="G6" si="2">D6+F6*E6</f>
        <v>2364171.0612499998</v>
      </c>
      <c r="H6" s="11"/>
      <c r="I6" s="9">
        <v>82</v>
      </c>
      <c r="J6" s="12">
        <f t="shared" ref="J6" si="3">I6*F6</f>
        <v>0</v>
      </c>
      <c r="K6" s="1"/>
    </row>
    <row r="7" spans="1:11" x14ac:dyDescent="0.35">
      <c r="A7" s="1"/>
      <c r="B7" s="7" t="s">
        <v>18</v>
      </c>
      <c r="C7" s="8">
        <v>1246916.6066160002</v>
      </c>
      <c r="D7" s="8">
        <v>1737953.8849899203</v>
      </c>
      <c r="E7" s="9">
        <v>10500.612545018979</v>
      </c>
      <c r="F7" s="10"/>
      <c r="G7" s="9">
        <f t="shared" si="0"/>
        <v>1737953.8849899203</v>
      </c>
      <c r="H7" s="11"/>
      <c r="I7" s="9">
        <v>132.6</v>
      </c>
      <c r="J7" s="12">
        <f t="shared" si="1"/>
        <v>0</v>
      </c>
      <c r="K7" s="1"/>
    </row>
    <row r="8" spans="1:11" x14ac:dyDescent="0.35">
      <c r="A8" s="1"/>
      <c r="B8" s="7" t="s">
        <v>20</v>
      </c>
      <c r="C8" s="8">
        <v>1246916.6066160002</v>
      </c>
      <c r="D8" s="8">
        <v>1737953.8849899203</v>
      </c>
      <c r="E8" s="9">
        <v>10500.612545018979</v>
      </c>
      <c r="F8" s="10"/>
      <c r="G8" s="9">
        <f t="shared" ref="G8:G11" si="4">D8+F8*E8</f>
        <v>1737953.8849899203</v>
      </c>
      <c r="H8" s="11"/>
      <c r="I8" s="9">
        <v>132.6</v>
      </c>
      <c r="J8" s="12">
        <f t="shared" ref="J8:J11" si="5">I8*F8</f>
        <v>0</v>
      </c>
      <c r="K8" s="1"/>
    </row>
    <row r="9" spans="1:11" x14ac:dyDescent="0.35">
      <c r="A9" s="1"/>
      <c r="B9" s="7" t="s">
        <v>22</v>
      </c>
      <c r="C9" s="8">
        <v>1246916.6066160002</v>
      </c>
      <c r="D9" s="8">
        <v>1737953.8849899203</v>
      </c>
      <c r="E9" s="9">
        <v>10500.612545018979</v>
      </c>
      <c r="F9" s="10"/>
      <c r="G9" s="9">
        <f t="shared" si="4"/>
        <v>1737953.8849899203</v>
      </c>
      <c r="H9" s="11"/>
      <c r="I9" s="9">
        <v>132.6</v>
      </c>
      <c r="J9" s="12">
        <f t="shared" si="5"/>
        <v>0</v>
      </c>
      <c r="K9" s="1"/>
    </row>
    <row r="10" spans="1:11" x14ac:dyDescent="0.35">
      <c r="A10" s="1"/>
      <c r="B10" s="7" t="s">
        <v>24</v>
      </c>
      <c r="C10" s="8">
        <v>1246916.6066160002</v>
      </c>
      <c r="D10" s="8">
        <v>1737953.8849899203</v>
      </c>
      <c r="E10" s="9">
        <v>10500.612545018979</v>
      </c>
      <c r="F10" s="10"/>
      <c r="G10" s="9">
        <f t="shared" si="4"/>
        <v>1737953.8849899203</v>
      </c>
      <c r="H10" s="11"/>
      <c r="I10" s="9">
        <v>132.6</v>
      </c>
      <c r="J10" s="12">
        <f t="shared" si="5"/>
        <v>0</v>
      </c>
      <c r="K10" s="1"/>
    </row>
    <row r="11" spans="1:11" x14ac:dyDescent="0.35">
      <c r="A11" s="1"/>
      <c r="B11" s="7" t="s">
        <v>26</v>
      </c>
      <c r="C11" s="8">
        <v>1246916.6066160002</v>
      </c>
      <c r="D11" s="8">
        <v>1737953.8849899203</v>
      </c>
      <c r="E11" s="9">
        <v>10500.612545018979</v>
      </c>
      <c r="F11" s="10"/>
      <c r="G11" s="9">
        <f t="shared" si="4"/>
        <v>1737953.8849899203</v>
      </c>
      <c r="H11" s="11"/>
      <c r="I11" s="9">
        <v>132.6</v>
      </c>
      <c r="J11" s="12">
        <f t="shared" si="5"/>
        <v>0</v>
      </c>
      <c r="K11" s="1"/>
    </row>
    <row r="12" spans="1:11" x14ac:dyDescent="0.35">
      <c r="A12" s="1"/>
      <c r="B12" s="7" t="s">
        <v>41</v>
      </c>
      <c r="C12" s="8">
        <v>959400</v>
      </c>
      <c r="D12" s="8">
        <v>1739731.9264165519</v>
      </c>
      <c r="E12" s="9">
        <v>12832.811264806527</v>
      </c>
      <c r="F12" s="10"/>
      <c r="G12" s="9">
        <f t="shared" si="0"/>
        <v>1739731.9264165519</v>
      </c>
      <c r="H12" s="11"/>
      <c r="I12" s="9">
        <v>133</v>
      </c>
      <c r="J12" s="12">
        <f t="shared" si="1"/>
        <v>0</v>
      </c>
      <c r="K12" s="1"/>
    </row>
    <row r="13" spans="1:11" x14ac:dyDescent="0.35">
      <c r="A13" s="1"/>
      <c r="B13" s="7" t="s">
        <v>28</v>
      </c>
      <c r="C13" s="8">
        <v>882068.31153287995</v>
      </c>
      <c r="D13" s="8">
        <v>1511460.48653288</v>
      </c>
      <c r="E13" s="9">
        <v>9177</v>
      </c>
      <c r="F13" s="10"/>
      <c r="G13" s="9">
        <f t="shared" si="0"/>
        <v>1511460.48653288</v>
      </c>
      <c r="H13" s="11"/>
      <c r="I13" s="9">
        <v>75</v>
      </c>
      <c r="J13" s="12">
        <f t="shared" si="1"/>
        <v>0</v>
      </c>
      <c r="K13" s="1"/>
    </row>
    <row r="14" spans="1:11" x14ac:dyDescent="0.35">
      <c r="A14" s="1"/>
      <c r="B14" s="7" t="s">
        <v>30</v>
      </c>
      <c r="C14" s="8">
        <v>882068.31153287995</v>
      </c>
      <c r="D14" s="8">
        <v>1511460.48653288</v>
      </c>
      <c r="E14" s="9">
        <v>9177</v>
      </c>
      <c r="F14" s="10"/>
      <c r="G14" s="9">
        <f t="shared" ref="G14:G15" si="6">D14+F14*E14</f>
        <v>1511460.48653288</v>
      </c>
      <c r="H14" s="11"/>
      <c r="I14" s="9">
        <v>75</v>
      </c>
      <c r="J14" s="12">
        <f t="shared" ref="J14:J15" si="7">I14*F14</f>
        <v>0</v>
      </c>
      <c r="K14" s="1"/>
    </row>
    <row r="15" spans="1:11" x14ac:dyDescent="0.35">
      <c r="A15" s="1"/>
      <c r="B15" s="7" t="s">
        <v>31</v>
      </c>
      <c r="C15" s="8">
        <v>882068.31153287995</v>
      </c>
      <c r="D15" s="8">
        <v>1511460.48653288</v>
      </c>
      <c r="E15" s="9">
        <v>9177</v>
      </c>
      <c r="F15" s="10"/>
      <c r="G15" s="9">
        <f t="shared" si="6"/>
        <v>1511460.48653288</v>
      </c>
      <c r="H15" s="11"/>
      <c r="I15" s="9">
        <v>75</v>
      </c>
      <c r="J15" s="12">
        <f t="shared" si="7"/>
        <v>0</v>
      </c>
      <c r="K15" s="1"/>
    </row>
    <row r="16" spans="1:11" x14ac:dyDescent="0.35">
      <c r="A16" s="1"/>
      <c r="B16" s="7" t="s">
        <v>33</v>
      </c>
      <c r="C16" s="8">
        <v>882068.31153287995</v>
      </c>
      <c r="D16" s="8">
        <v>1511460.48653288</v>
      </c>
      <c r="E16" s="9">
        <v>17377</v>
      </c>
      <c r="F16" s="10"/>
      <c r="G16" s="9">
        <f t="shared" si="0"/>
        <v>1511460.48653288</v>
      </c>
      <c r="H16" s="11"/>
      <c r="I16" s="9">
        <v>75</v>
      </c>
      <c r="J16" s="12">
        <f t="shared" si="1"/>
        <v>0</v>
      </c>
      <c r="K16" s="1"/>
    </row>
    <row r="17" spans="1:11" x14ac:dyDescent="0.35">
      <c r="A17" s="1"/>
      <c r="B17" s="7" t="s">
        <v>40</v>
      </c>
      <c r="C17" s="8">
        <v>882068.31153287995</v>
      </c>
      <c r="D17" s="8">
        <v>1511460.48653288</v>
      </c>
      <c r="E17" s="9">
        <v>17377</v>
      </c>
      <c r="F17" s="10"/>
      <c r="G17" s="9">
        <f t="shared" ref="G17:G18" si="8">D17+F17*E17</f>
        <v>1511460.48653288</v>
      </c>
      <c r="H17" s="11"/>
      <c r="I17" s="9">
        <v>75</v>
      </c>
      <c r="J17" s="12">
        <f t="shared" ref="J17:J18" si="9">I17*F17</f>
        <v>0</v>
      </c>
      <c r="K17" s="1"/>
    </row>
    <row r="18" spans="1:11" x14ac:dyDescent="0.35">
      <c r="A18" s="1"/>
      <c r="B18" s="7" t="s">
        <v>37</v>
      </c>
      <c r="C18" s="8">
        <v>948543.89999999991</v>
      </c>
      <c r="D18" s="8">
        <v>1425072.075</v>
      </c>
      <c r="E18" s="9">
        <v>6957.2374774999998</v>
      </c>
      <c r="F18" s="10"/>
      <c r="G18" s="9">
        <f t="shared" si="8"/>
        <v>1425072.075</v>
      </c>
      <c r="H18" s="11"/>
      <c r="I18" s="9">
        <v>75</v>
      </c>
      <c r="J18" s="12">
        <f t="shared" si="9"/>
        <v>0</v>
      </c>
      <c r="K18" s="1"/>
    </row>
    <row r="19" spans="1:11" x14ac:dyDescent="0.35">
      <c r="A19" s="1"/>
      <c r="B19" s="7" t="s">
        <v>39</v>
      </c>
      <c r="C19" s="8">
        <v>948543.89999999991</v>
      </c>
      <c r="D19" s="8">
        <v>1425072.075</v>
      </c>
      <c r="E19" s="9">
        <v>6957.2374774999998</v>
      </c>
      <c r="F19" s="10"/>
      <c r="G19" s="9">
        <f t="shared" si="0"/>
        <v>1425072.075</v>
      </c>
      <c r="H19" s="11"/>
      <c r="I19" s="9">
        <v>75</v>
      </c>
      <c r="J19" s="12">
        <f t="shared" si="1"/>
        <v>0</v>
      </c>
      <c r="K19" s="1"/>
    </row>
    <row r="20" spans="1:11" hidden="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35">
      <c r="A21" s="1"/>
      <c r="B21" s="13" t="s">
        <v>8</v>
      </c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5" spans="1:11" x14ac:dyDescent="0.35">
      <c r="B25" t="s">
        <v>9</v>
      </c>
      <c r="C25" t="s">
        <v>10</v>
      </c>
    </row>
    <row r="26" spans="1:11" x14ac:dyDescent="0.35">
      <c r="B26" t="s">
        <v>11</v>
      </c>
      <c r="C26" t="s">
        <v>12</v>
      </c>
    </row>
    <row r="27" spans="1:11" x14ac:dyDescent="0.35">
      <c r="B27" t="s">
        <v>13</v>
      </c>
      <c r="C27" t="s">
        <v>14</v>
      </c>
    </row>
    <row r="28" spans="1:11" x14ac:dyDescent="0.35">
      <c r="B28" t="s">
        <v>15</v>
      </c>
      <c r="C28" t="s">
        <v>16</v>
      </c>
    </row>
    <row r="29" spans="1:11" x14ac:dyDescent="0.35">
      <c r="B29" t="s">
        <v>17</v>
      </c>
      <c r="C29" t="s">
        <v>18</v>
      </c>
    </row>
    <row r="30" spans="1:11" x14ac:dyDescent="0.35">
      <c r="B30" t="s">
        <v>19</v>
      </c>
      <c r="C30" t="s">
        <v>20</v>
      </c>
    </row>
    <row r="31" spans="1:11" x14ac:dyDescent="0.35">
      <c r="B31" t="s">
        <v>21</v>
      </c>
      <c r="C31" t="s">
        <v>22</v>
      </c>
    </row>
    <row r="32" spans="1:11" x14ac:dyDescent="0.35">
      <c r="B32" t="s">
        <v>23</v>
      </c>
      <c r="C32" t="s">
        <v>24</v>
      </c>
    </row>
    <row r="33" spans="2:3" x14ac:dyDescent="0.35">
      <c r="B33" t="s">
        <v>25</v>
      </c>
      <c r="C33" t="s">
        <v>26</v>
      </c>
    </row>
    <row r="34" spans="2:3" x14ac:dyDescent="0.35">
      <c r="B34" t="s">
        <v>27</v>
      </c>
      <c r="C34" t="s">
        <v>28</v>
      </c>
    </row>
    <row r="35" spans="2:3" x14ac:dyDescent="0.35">
      <c r="B35" t="s">
        <v>29</v>
      </c>
      <c r="C35" t="s">
        <v>30</v>
      </c>
    </row>
    <row r="36" spans="2:3" x14ac:dyDescent="0.35">
      <c r="B36" t="s">
        <v>34</v>
      </c>
      <c r="C36" t="s">
        <v>31</v>
      </c>
    </row>
    <row r="37" spans="2:3" x14ac:dyDescent="0.35">
      <c r="B37" t="s">
        <v>32</v>
      </c>
      <c r="C37" t="s">
        <v>33</v>
      </c>
    </row>
    <row r="38" spans="2:3" x14ac:dyDescent="0.35">
      <c r="B38" t="s">
        <v>35</v>
      </c>
      <c r="C38" t="s">
        <v>40</v>
      </c>
    </row>
    <row r="39" spans="2:3" x14ac:dyDescent="0.35">
      <c r="B39" t="s">
        <v>36</v>
      </c>
      <c r="C39" t="s">
        <v>37</v>
      </c>
    </row>
    <row r="40" spans="2:3" x14ac:dyDescent="0.35">
      <c r="B40" t="s">
        <v>38</v>
      </c>
      <c r="C40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PROMEDIOS EXTERNOS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Cueto</dc:creator>
  <cp:lastModifiedBy>Daniel Garcia</cp:lastModifiedBy>
  <dcterms:created xsi:type="dcterms:W3CDTF">2026-05-13T19:31:05Z</dcterms:created>
  <dcterms:modified xsi:type="dcterms:W3CDTF">2026-05-14T21:54:01Z</dcterms:modified>
</cp:coreProperties>
</file>